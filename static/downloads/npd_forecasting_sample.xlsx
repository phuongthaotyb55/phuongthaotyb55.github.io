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Database" sheetId="1" state="visible" r:id="rId1"/>
    <sheet name="1. NPD Info" sheetId="2" state="visible" r:id="rId2"/>
    <sheet name="2. Topline Fcst" sheetId="3" state="visible" r:id="rId3"/>
    <sheet name="3. Split by SKUs" sheetId="4" state="visible" r:id="rId4"/>
    <sheet name="4. Final Fcst" sheetId="5" state="visible" r:id="rId5"/>
    <sheet name="5. Demand Planning Ex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u val="single"/>
    </font>
    <font>
      <b val="1"/>
      <color rgb="00FF0000"/>
    </font>
    <font>
      <i val="1"/>
      <color rgb="005B6472"/>
    </font>
    <font>
      <b val="1"/>
    </font>
  </fonts>
  <fills count="5">
    <fill>
      <patternFill/>
    </fill>
    <fill>
      <patternFill patternType="gray125"/>
    </fill>
    <fill>
      <patternFill patternType="solid">
        <fgColor rgb="00002454"/>
      </patternFill>
    </fill>
    <fill>
      <patternFill patternType="solid">
        <fgColor rgb="00FFF2CC"/>
      </patternFill>
    </fill>
    <fill>
      <patternFill patternType="solid">
        <fgColor rgb="008EAA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17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17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3" fontId="0" fillId="4" borderId="0" pivotButton="0" quotePrefix="0" xfId="0"/>
    <xf numFmtId="3" fontId="0" fillId="0" borderId="0" pivotButton="0" quotePrefix="0" xfId="0"/>
    <xf numFmtId="3" fontId="5" fillId="0" borderId="0" pivotButton="0" quotePrefix="0" xfId="0"/>
    <xf numFmtId="0" fontId="1" fillId="2" borderId="0" pivotButton="0" quotePrefix="0" xfId="0"/>
    <xf numFmtId="17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Region</t>
        </is>
      </c>
      <c r="B1" s="1" t="inlineStr">
        <is>
          <t>Sub Region</t>
        </is>
      </c>
      <c r="C1" s="1" t="inlineStr">
        <is>
          <t>Market</t>
        </is>
      </c>
      <c r="D1" s="1" t="inlineStr">
        <is>
          <t>House</t>
        </is>
      </c>
      <c r="E1" s="1" t="inlineStr">
        <is>
          <t>Product Line</t>
        </is>
      </c>
      <c r="F1" s="1" t="inlineStr">
        <is>
          <t>GTIN</t>
        </is>
      </c>
      <c r="G1" s="1" t="inlineStr">
        <is>
          <t>IRC</t>
        </is>
      </c>
      <c r="H1" s="1" t="inlineStr">
        <is>
          <t>IRC Description</t>
        </is>
      </c>
      <c r="I1" s="1" t="inlineStr">
        <is>
          <t>Jul-25</t>
        </is>
      </c>
      <c r="J1" s="1" t="inlineStr">
        <is>
          <t>Aug-25</t>
        </is>
      </c>
      <c r="K1" s="1" t="inlineStr">
        <is>
          <t>Sep-25</t>
        </is>
      </c>
      <c r="L1" s="1" t="inlineStr">
        <is>
          <t>Oct-25</t>
        </is>
      </c>
      <c r="M1" s="1" t="inlineStr">
        <is>
          <t>Nov-25</t>
        </is>
      </c>
      <c r="N1" s="1" t="inlineStr">
        <is>
          <t>Dec-25</t>
        </is>
      </c>
      <c r="O1" s="1" t="inlineStr">
        <is>
          <t>Jan-26</t>
        </is>
      </c>
      <c r="P1" s="1" t="inlineStr">
        <is>
          <t>Feb-26</t>
        </is>
      </c>
      <c r="Q1" s="1" t="inlineStr">
        <is>
          <t>Mar-26</t>
        </is>
      </c>
      <c r="R1" s="1" t="inlineStr">
        <is>
          <t>Apr-26</t>
        </is>
      </c>
      <c r="S1" s="1" t="inlineStr">
        <is>
          <t>May-26</t>
        </is>
      </c>
      <c r="T1" s="1" t="inlineStr">
        <is>
          <t>Jun-26</t>
        </is>
      </c>
    </row>
    <row r="2">
      <c r="A2" t="inlineStr">
        <is>
          <t>EMEA</t>
        </is>
      </c>
      <c r="B2" t="inlineStr">
        <is>
          <t>Western Europe</t>
        </is>
      </c>
      <c r="C2" t="inlineStr">
        <is>
          <t>France</t>
        </is>
      </c>
      <c r="D2" t="inlineStr">
        <is>
          <t>Lumen Skincare</t>
        </is>
      </c>
      <c r="E2" t="inlineStr">
        <is>
          <t>Hydra Glow</t>
        </is>
      </c>
      <c r="F2" t="inlineStr">
        <is>
          <t>0123456789012</t>
        </is>
      </c>
      <c r="G2" t="inlineStr">
        <is>
          <t>LUM-HG-050</t>
        </is>
      </c>
      <c r="H2" t="inlineStr">
        <is>
          <t>Hydra Glow Serum 50ml</t>
        </is>
      </c>
      <c r="I2" t="n">
        <v>2126</v>
      </c>
      <c r="J2" t="n">
        <v>1417</v>
      </c>
      <c r="K2" t="n">
        <v>2417</v>
      </c>
      <c r="L2" t="n">
        <v>3466</v>
      </c>
      <c r="M2" t="n">
        <v>997</v>
      </c>
      <c r="N2" t="n">
        <v>1096</v>
      </c>
      <c r="O2" t="n">
        <v>4163</v>
      </c>
      <c r="P2" t="n">
        <v>2994</v>
      </c>
      <c r="Q2" t="n">
        <v>1185</v>
      </c>
      <c r="R2" t="n">
        <v>2297</v>
      </c>
      <c r="S2" t="n">
        <v>3187</v>
      </c>
      <c r="T2" t="n">
        <v>1037</v>
      </c>
    </row>
    <row r="3">
      <c r="A3" t="inlineStr">
        <is>
          <t>EMEA</t>
        </is>
      </c>
      <c r="B3" t="inlineStr">
        <is>
          <t>Western Europe</t>
        </is>
      </c>
      <c r="C3" t="inlineStr">
        <is>
          <t>Germany</t>
        </is>
      </c>
      <c r="D3" t="inlineStr">
        <is>
          <t>Lumen Skincare</t>
        </is>
      </c>
      <c r="E3" t="inlineStr">
        <is>
          <t>Hydra Glow</t>
        </is>
      </c>
      <c r="F3" t="inlineStr">
        <is>
          <t>0123456789012</t>
        </is>
      </c>
      <c r="G3" t="inlineStr">
        <is>
          <t>LUM-HG-050</t>
        </is>
      </c>
      <c r="H3" t="inlineStr">
        <is>
          <t>Hydra Glow Serum 50ml</t>
        </is>
      </c>
      <c r="I3" t="n">
        <v>2878</v>
      </c>
      <c r="J3" t="n">
        <v>1679</v>
      </c>
      <c r="K3" t="n">
        <v>953</v>
      </c>
      <c r="L3" t="n">
        <v>1152</v>
      </c>
      <c r="M3" t="n">
        <v>2576</v>
      </c>
      <c r="N3" t="n">
        <v>2512</v>
      </c>
      <c r="O3" t="n">
        <v>1086</v>
      </c>
      <c r="P3" t="n">
        <v>1785</v>
      </c>
      <c r="Q3" t="n">
        <v>1171</v>
      </c>
      <c r="R3" t="n">
        <v>3057</v>
      </c>
      <c r="S3" t="n">
        <v>2538</v>
      </c>
      <c r="T3" t="n">
        <v>1042</v>
      </c>
    </row>
    <row r="4">
      <c r="A4" t="inlineStr">
        <is>
          <t>EMEA</t>
        </is>
      </c>
      <c r="B4" t="inlineStr">
        <is>
          <t>Western Europe</t>
        </is>
      </c>
      <c r="C4" t="inlineStr">
        <is>
          <t>UK</t>
        </is>
      </c>
      <c r="D4" t="inlineStr">
        <is>
          <t>Lumen Skincare</t>
        </is>
      </c>
      <c r="E4" t="inlineStr">
        <is>
          <t>Hydra Glow</t>
        </is>
      </c>
      <c r="F4" t="inlineStr">
        <is>
          <t>0123456789029</t>
        </is>
      </c>
      <c r="G4" t="inlineStr">
        <is>
          <t>LUM-HG-030</t>
        </is>
      </c>
      <c r="H4" t="inlineStr">
        <is>
          <t>Hydra Glow Serum 30ml</t>
        </is>
      </c>
      <c r="I4" t="n">
        <v>4186</v>
      </c>
      <c r="J4" t="n">
        <v>3116</v>
      </c>
      <c r="K4" t="n">
        <v>1307</v>
      </c>
      <c r="L4" t="n">
        <v>1714</v>
      </c>
      <c r="M4" t="n">
        <v>3383</v>
      </c>
      <c r="N4" t="n">
        <v>3369</v>
      </c>
      <c r="O4" t="n">
        <v>3187</v>
      </c>
      <c r="P4" t="n">
        <v>1053</v>
      </c>
      <c r="Q4" t="n">
        <v>3163</v>
      </c>
      <c r="R4" t="n">
        <v>3198</v>
      </c>
      <c r="S4" t="n">
        <v>2424</v>
      </c>
      <c r="T4" t="n">
        <v>1003</v>
      </c>
    </row>
    <row r="5">
      <c r="A5" t="inlineStr">
        <is>
          <t>EMEA</t>
        </is>
      </c>
      <c r="B5" t="inlineStr">
        <is>
          <t>Southern Europe</t>
        </is>
      </c>
      <c r="C5" t="inlineStr">
        <is>
          <t>Spain</t>
        </is>
      </c>
      <c r="D5" t="inlineStr">
        <is>
          <t>Lumen Color</t>
        </is>
      </c>
      <c r="E5" t="inlineStr">
        <is>
          <t>Velvet Matte</t>
        </is>
      </c>
      <c r="F5" t="inlineStr">
        <is>
          <t>0123456789036</t>
        </is>
      </c>
      <c r="G5" t="inlineStr">
        <is>
          <t>LUM-VM-201</t>
        </is>
      </c>
      <c r="H5" t="inlineStr">
        <is>
          <t>Velvet Matte Lipstick - Rosewood</t>
        </is>
      </c>
      <c r="I5" t="n">
        <v>1705</v>
      </c>
      <c r="J5" t="n">
        <v>990</v>
      </c>
      <c r="K5" t="n">
        <v>3080</v>
      </c>
      <c r="L5" t="n">
        <v>1345</v>
      </c>
      <c r="M5" t="n">
        <v>1986</v>
      </c>
      <c r="N5" t="n">
        <v>2516</v>
      </c>
      <c r="O5" t="n">
        <v>1390</v>
      </c>
      <c r="P5" t="n">
        <v>3014</v>
      </c>
      <c r="Q5" t="n">
        <v>1282</v>
      </c>
      <c r="R5" t="n">
        <v>3138</v>
      </c>
      <c r="S5" t="n">
        <v>2063</v>
      </c>
      <c r="T5" t="n">
        <v>3094</v>
      </c>
    </row>
    <row r="6">
      <c r="A6" t="inlineStr">
        <is>
          <t>EMEA</t>
        </is>
      </c>
      <c r="B6" t="inlineStr">
        <is>
          <t>Southern Europe</t>
        </is>
      </c>
      <c r="C6" t="inlineStr">
        <is>
          <t>Italy</t>
        </is>
      </c>
      <c r="D6" t="inlineStr">
        <is>
          <t>Lumen Color</t>
        </is>
      </c>
      <c r="E6" t="inlineStr">
        <is>
          <t>Velvet Matte</t>
        </is>
      </c>
      <c r="F6" t="inlineStr">
        <is>
          <t>0123456789043</t>
        </is>
      </c>
      <c r="G6" t="inlineStr">
        <is>
          <t>LUM-VM-202</t>
        </is>
      </c>
      <c r="H6" t="inlineStr">
        <is>
          <t>Velvet Matte Lipstick - Terracotta</t>
        </is>
      </c>
      <c r="I6" t="n">
        <v>4142</v>
      </c>
      <c r="J6" t="n">
        <v>3593</v>
      </c>
      <c r="K6" t="n">
        <v>1540</v>
      </c>
      <c r="L6" t="n">
        <v>1222</v>
      </c>
      <c r="M6" t="n">
        <v>3182</v>
      </c>
      <c r="N6" t="n">
        <v>3139</v>
      </c>
      <c r="O6" t="n">
        <v>3416</v>
      </c>
      <c r="P6" t="n">
        <v>1569</v>
      </c>
      <c r="Q6" t="n">
        <v>2325</v>
      </c>
      <c r="R6" t="n">
        <v>1199</v>
      </c>
      <c r="S6" t="n">
        <v>3043</v>
      </c>
      <c r="T6" t="n">
        <v>3716</v>
      </c>
    </row>
    <row r="7">
      <c r="A7" t="inlineStr">
        <is>
          <t>APAC</t>
        </is>
      </c>
      <c r="B7" t="inlineStr">
        <is>
          <t>North Asia</t>
        </is>
      </c>
      <c r="C7" t="inlineStr">
        <is>
          <t>Japan</t>
        </is>
      </c>
      <c r="D7" t="inlineStr">
        <is>
          <t>Lumen Color</t>
        </is>
      </c>
      <c r="E7" t="inlineStr">
        <is>
          <t>Bloom Radiance</t>
        </is>
      </c>
      <c r="F7" t="inlineStr">
        <is>
          <t>0123456789050</t>
        </is>
      </c>
      <c r="G7" t="inlineStr">
        <is>
          <t>LUM-BR-100</t>
        </is>
      </c>
      <c r="H7" t="inlineStr">
        <is>
          <t>Bloom Radiance Highlighter</t>
        </is>
      </c>
      <c r="I7" t="n">
        <v>1057</v>
      </c>
      <c r="J7" t="n">
        <v>3111</v>
      </c>
      <c r="K7" t="n">
        <v>1044</v>
      </c>
      <c r="L7" t="n">
        <v>3335</v>
      </c>
      <c r="M7" t="n">
        <v>1643</v>
      </c>
      <c r="N7" t="n">
        <v>2833</v>
      </c>
      <c r="O7" t="n">
        <v>3586</v>
      </c>
      <c r="P7" t="n">
        <v>2977</v>
      </c>
      <c r="Q7" t="n">
        <v>2551</v>
      </c>
      <c r="R7" t="n">
        <v>3983</v>
      </c>
      <c r="S7" t="n">
        <v>2086</v>
      </c>
      <c r="T7" t="n">
        <v>2707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1"/>
  <sheetViews>
    <sheetView workbookViewId="0">
      <selection activeCell="A1" sqref="A1"/>
    </sheetView>
  </sheetViews>
  <sheetFormatPr baseColWidth="8" defaultRowHeight="15"/>
  <cols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2" t="inlineStr">
        <is>
          <t>Click into this cell for quick user guide</t>
        </is>
      </c>
    </row>
    <row r="4">
      <c r="I4" s="3" t="inlineStr">
        <is>
          <t>Put ICW date in the cell below</t>
        </is>
      </c>
    </row>
    <row r="5">
      <c r="B5" s="1" t="inlineStr">
        <is>
          <t>NPD Information</t>
        </is>
      </c>
      <c r="I5" s="4" t="n">
        <v>46388</v>
      </c>
    </row>
    <row r="6">
      <c r="B6" s="1" t="inlineStr">
        <is>
          <t>GTIN</t>
        </is>
      </c>
      <c r="C6" s="1" t="inlineStr">
        <is>
          <t>IRC</t>
        </is>
      </c>
      <c r="D6" s="1" t="inlineStr">
        <is>
          <t>IRC Description</t>
        </is>
      </c>
      <c r="E6" s="1" t="inlineStr">
        <is>
          <t>Shade/ML</t>
        </is>
      </c>
      <c r="F6" s="1" t="inlineStr">
        <is>
          <t>Market Category</t>
        </is>
      </c>
      <c r="G6" s="1" t="inlineStr">
        <is>
          <t>Article Type</t>
        </is>
      </c>
      <c r="H6" s="1" t="inlineStr">
        <is>
          <t>List Price (GSP/NSP)</t>
        </is>
      </c>
      <c r="I6" s="1" t="inlineStr">
        <is>
          <t>Concatenate</t>
        </is>
      </c>
    </row>
    <row r="7">
      <c r="B7" s="5" t="inlineStr">
        <is>
          <t>0123456789012</t>
        </is>
      </c>
      <c r="C7" s="5" t="inlineStr">
        <is>
          <t>LUM-HG-050</t>
        </is>
      </c>
      <c r="D7" s="5" t="inlineStr">
        <is>
          <t>Hydra Glow Serum 50ml</t>
        </is>
      </c>
      <c r="E7" s="5" t="inlineStr">
        <is>
          <t>50ml</t>
        </is>
      </c>
      <c r="F7" s="5" t="inlineStr">
        <is>
          <t>Skincare</t>
        </is>
      </c>
      <c r="G7" s="5" t="inlineStr">
        <is>
          <t>Serum</t>
        </is>
      </c>
      <c r="H7" s="5" t="n">
        <v>24.99</v>
      </c>
      <c r="I7">
        <f>B7&amp;C7</f>
        <v/>
      </c>
    </row>
    <row r="8">
      <c r="B8" s="5" t="inlineStr">
        <is>
          <t>0123456789029</t>
        </is>
      </c>
      <c r="C8" s="5" t="inlineStr">
        <is>
          <t>LUM-HG-030</t>
        </is>
      </c>
      <c r="D8" s="5" t="inlineStr">
        <is>
          <t>Hydra Glow Serum 30ml</t>
        </is>
      </c>
      <c r="E8" s="5" t="inlineStr">
        <is>
          <t>30ml</t>
        </is>
      </c>
      <c r="F8" s="5" t="inlineStr">
        <is>
          <t>Skincare</t>
        </is>
      </c>
      <c r="G8" s="5" t="inlineStr">
        <is>
          <t>Serum</t>
        </is>
      </c>
      <c r="H8" s="5" t="n">
        <v>16.99</v>
      </c>
      <c r="I8">
        <f>B8&amp;C8</f>
        <v/>
      </c>
    </row>
    <row r="9">
      <c r="B9" s="5" t="inlineStr">
        <is>
          <t>0123456789036</t>
        </is>
      </c>
      <c r="C9" s="5" t="inlineStr">
        <is>
          <t>LUM-VM-201</t>
        </is>
      </c>
      <c r="D9" s="5" t="inlineStr">
        <is>
          <t>Velvet Matte Lipstick - Rosewood</t>
        </is>
      </c>
      <c r="E9" s="5" t="inlineStr">
        <is>
          <t>Rosewood</t>
        </is>
      </c>
      <c r="F9" s="5" t="inlineStr">
        <is>
          <t>Color Cosmetics</t>
        </is>
      </c>
      <c r="G9" s="5" t="inlineStr">
        <is>
          <t>Lipstick</t>
        </is>
      </c>
      <c r="H9" s="5" t="n">
        <v>19.99</v>
      </c>
      <c r="I9">
        <f>B9&amp;C9</f>
        <v/>
      </c>
    </row>
    <row r="10">
      <c r="B10" s="5" t="inlineStr">
        <is>
          <t>0123456789043</t>
        </is>
      </c>
      <c r="C10" s="5" t="inlineStr">
        <is>
          <t>LUM-VM-202</t>
        </is>
      </c>
      <c r="D10" s="5" t="inlineStr">
        <is>
          <t>Velvet Matte Lipstick - Terracotta</t>
        </is>
      </c>
      <c r="E10" s="5" t="inlineStr">
        <is>
          <t>Terracotta</t>
        </is>
      </c>
      <c r="F10" s="5" t="inlineStr">
        <is>
          <t>Color Cosmetics</t>
        </is>
      </c>
      <c r="G10" s="5" t="inlineStr">
        <is>
          <t>Lipstick</t>
        </is>
      </c>
      <c r="H10" s="5" t="n">
        <v>19.99</v>
      </c>
      <c r="I10">
        <f>B10&amp;C10</f>
        <v/>
      </c>
    </row>
    <row r="11">
      <c r="B11" s="5" t="inlineStr">
        <is>
          <t>0123456789050</t>
        </is>
      </c>
      <c r="C11" s="5" t="inlineStr">
        <is>
          <t>LUM-BR-100</t>
        </is>
      </c>
      <c r="D11" s="5" t="inlineStr">
        <is>
          <t>Bloom Radiance Highlighter</t>
        </is>
      </c>
      <c r="E11" s="5" t="inlineStr">
        <is>
          <t>Champagne</t>
        </is>
      </c>
      <c r="F11" s="5" t="inlineStr">
        <is>
          <t>Color Cosmetics</t>
        </is>
      </c>
      <c r="G11" s="5" t="inlineStr">
        <is>
          <t>Highlighter</t>
        </is>
      </c>
      <c r="H11" s="5" t="n">
        <v>22.5</v>
      </c>
      <c r="I11">
        <f>B11&amp;C11</f>
        <v/>
      </c>
    </row>
  </sheetData>
  <mergeCells count="1"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 ht="40" customHeight="1">
      <c r="B2" s="6" t="inlineStr">
        <is>
          <t>Working sheet — the planner enters two topline scenarios (bottom-up vs. top-down) here; Generate_FinalFcst() reads the reconciled total and carries it into 4. Final Fcst.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 ht="40" customHeight="1">
      <c r="B2" s="6" t="inlineStr">
        <is>
          <t>Working sheet — holds the extrapolated per-IRC weight used to split the topline number back down to SKU level in 4. Final Fcst.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4:U26"/>
  <sheetViews>
    <sheetView workbookViewId="0">
      <selection activeCell="A1" sqref="A1"/>
    </sheetView>
  </sheetViews>
  <sheetFormatPr baseColWidth="8" defaultRowHeight="15"/>
  <cols>
    <col width="13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4">
      <c r="B4" s="7" t="inlineStr">
        <is>
          <t>(1) Final Forecast by IRC with common ICW (in Units)</t>
        </is>
      </c>
    </row>
    <row r="5">
      <c r="B5" s="1" t="inlineStr">
        <is>
          <t>IRC</t>
        </is>
      </c>
      <c r="C5" s="1" t="inlineStr">
        <is>
          <t>Description</t>
        </is>
      </c>
      <c r="I5" s="8" t="n">
        <v>46388</v>
      </c>
      <c r="J5" s="8" t="n">
        <v>46419</v>
      </c>
      <c r="K5" s="8" t="n">
        <v>46447</v>
      </c>
      <c r="L5" s="8" t="n">
        <v>46478</v>
      </c>
      <c r="M5" s="8" t="n">
        <v>46508</v>
      </c>
      <c r="N5" s="8" t="n">
        <v>46539</v>
      </c>
      <c r="O5" s="8" t="n">
        <v>46569</v>
      </c>
      <c r="P5" s="8" t="n">
        <v>46600</v>
      </c>
      <c r="Q5" s="8" t="n">
        <v>46631</v>
      </c>
      <c r="R5" s="8" t="n">
        <v>46661</v>
      </c>
      <c r="S5" s="8" t="n">
        <v>46692</v>
      </c>
      <c r="T5" s="8" t="n">
        <v>46722</v>
      </c>
      <c r="U5" s="1" t="inlineStr">
        <is>
          <t>Total Vol 12M</t>
        </is>
      </c>
    </row>
    <row r="6">
      <c r="B6" s="9" t="inlineStr">
        <is>
          <t>LUM-HG-050</t>
        </is>
      </c>
      <c r="C6" s="9" t="inlineStr">
        <is>
          <t>Hydra Glow Serum 50ml</t>
        </is>
      </c>
      <c r="D6" s="9" t="n"/>
      <c r="E6" s="9" t="n"/>
      <c r="F6" s="9" t="n"/>
      <c r="G6" s="9" t="n"/>
      <c r="H6" s="9" t="n"/>
      <c r="I6" s="10" t="n">
        <v>2252</v>
      </c>
      <c r="J6" s="10" t="n">
        <v>2692</v>
      </c>
      <c r="K6" s="10" t="n">
        <v>2307</v>
      </c>
      <c r="L6" s="10" t="n">
        <v>2250</v>
      </c>
      <c r="M6" s="10" t="n">
        <v>2480</v>
      </c>
      <c r="N6" s="10" t="n">
        <v>2805</v>
      </c>
      <c r="O6" s="10" t="n">
        <v>1177</v>
      </c>
      <c r="P6" s="10" t="n">
        <v>1156</v>
      </c>
      <c r="Q6" s="10" t="n">
        <v>2496</v>
      </c>
      <c r="R6" s="10" t="n">
        <v>2348</v>
      </c>
      <c r="S6" s="10" t="n">
        <v>2979</v>
      </c>
      <c r="T6" s="10" t="n">
        <v>2914</v>
      </c>
      <c r="U6" s="10">
        <f>SUM(I6:T6)</f>
        <v/>
      </c>
    </row>
    <row r="7">
      <c r="B7" t="inlineStr">
        <is>
          <t>LUM-HG-030</t>
        </is>
      </c>
      <c r="C7" t="inlineStr">
        <is>
          <t>Hydra Glow Serum 30ml</t>
        </is>
      </c>
      <c r="I7" s="11" t="n">
        <v>1162</v>
      </c>
      <c r="J7" s="11" t="n">
        <v>785</v>
      </c>
      <c r="K7" s="11" t="n">
        <v>2229</v>
      </c>
      <c r="L7" s="11" t="n">
        <v>1642</v>
      </c>
      <c r="M7" s="11" t="n">
        <v>980</v>
      </c>
      <c r="N7" s="11" t="n">
        <v>771</v>
      </c>
      <c r="O7" s="11" t="n">
        <v>2606</v>
      </c>
      <c r="P7" s="11" t="n">
        <v>2998</v>
      </c>
      <c r="Q7" s="11" t="n">
        <v>571</v>
      </c>
      <c r="R7" s="11" t="n">
        <v>2838</v>
      </c>
      <c r="S7" s="11" t="n">
        <v>2022</v>
      </c>
      <c r="T7" s="11" t="n">
        <v>2255</v>
      </c>
      <c r="U7" s="11">
        <f>SUM(I7:T7)</f>
        <v/>
      </c>
    </row>
    <row r="8">
      <c r="B8" s="9" t="inlineStr">
        <is>
          <t>LUM-VM-201</t>
        </is>
      </c>
      <c r="C8" s="9" t="inlineStr">
        <is>
          <t>Velvet Matte Lipstick - Rosewood</t>
        </is>
      </c>
      <c r="D8" s="9" t="n"/>
      <c r="E8" s="9" t="n"/>
      <c r="F8" s="9" t="n"/>
      <c r="G8" s="9" t="n"/>
      <c r="H8" s="9" t="n"/>
      <c r="I8" s="10" t="n">
        <v>3078</v>
      </c>
      <c r="J8" s="10" t="n">
        <v>2921</v>
      </c>
      <c r="K8" s="10" t="n">
        <v>3062</v>
      </c>
      <c r="L8" s="10" t="n">
        <v>1045</v>
      </c>
      <c r="M8" s="10" t="n">
        <v>2952</v>
      </c>
      <c r="N8" s="10" t="n">
        <v>461</v>
      </c>
      <c r="O8" s="10" t="n">
        <v>2564</v>
      </c>
      <c r="P8" s="10" t="n">
        <v>658</v>
      </c>
      <c r="Q8" s="10" t="n">
        <v>643</v>
      </c>
      <c r="R8" s="10" t="n">
        <v>546</v>
      </c>
      <c r="S8" s="10" t="n">
        <v>1179</v>
      </c>
      <c r="T8" s="10" t="n">
        <v>1390</v>
      </c>
      <c r="U8" s="10">
        <f>SUM(I8:T8)</f>
        <v/>
      </c>
    </row>
    <row r="9">
      <c r="B9" t="inlineStr">
        <is>
          <t>LUM-VM-202</t>
        </is>
      </c>
      <c r="C9" t="inlineStr">
        <is>
          <t>Velvet Matte Lipstick - Terracotta</t>
        </is>
      </c>
      <c r="I9" s="11" t="n">
        <v>2856</v>
      </c>
      <c r="J9" s="11" t="n">
        <v>523</v>
      </c>
      <c r="K9" s="11" t="n">
        <v>2300</v>
      </c>
      <c r="L9" s="11" t="n">
        <v>1736</v>
      </c>
      <c r="M9" s="11" t="n">
        <v>2204</v>
      </c>
      <c r="N9" s="11" t="n">
        <v>2820</v>
      </c>
      <c r="O9" s="11" t="n">
        <v>1200</v>
      </c>
      <c r="P9" s="11" t="n">
        <v>2526</v>
      </c>
      <c r="Q9" s="11" t="n">
        <v>1357</v>
      </c>
      <c r="R9" s="11" t="n">
        <v>3022</v>
      </c>
      <c r="S9" s="11" t="n">
        <v>1604</v>
      </c>
      <c r="T9" s="11" t="n">
        <v>2447</v>
      </c>
      <c r="U9" s="11">
        <f>SUM(I9:T9)</f>
        <v/>
      </c>
    </row>
    <row r="10">
      <c r="B10" s="9" t="inlineStr">
        <is>
          <t>LUM-BR-100</t>
        </is>
      </c>
      <c r="C10" s="9" t="inlineStr">
        <is>
          <t>Bloom Radiance Highlighter</t>
        </is>
      </c>
      <c r="D10" s="9" t="n"/>
      <c r="E10" s="9" t="n"/>
      <c r="F10" s="9" t="n"/>
      <c r="G10" s="9" t="n"/>
      <c r="H10" s="9" t="n"/>
      <c r="I10" s="10" t="n">
        <v>418</v>
      </c>
      <c r="J10" s="10" t="n">
        <v>3113</v>
      </c>
      <c r="K10" s="10" t="n">
        <v>748</v>
      </c>
      <c r="L10" s="10" t="n">
        <v>2273</v>
      </c>
      <c r="M10" s="10" t="n">
        <v>3082</v>
      </c>
      <c r="N10" s="10" t="n">
        <v>1539</v>
      </c>
      <c r="O10" s="10" t="n">
        <v>2066</v>
      </c>
      <c r="P10" s="10" t="n">
        <v>2657</v>
      </c>
      <c r="Q10" s="10" t="n">
        <v>740</v>
      </c>
      <c r="R10" s="10" t="n">
        <v>1440</v>
      </c>
      <c r="S10" s="10" t="n">
        <v>1691</v>
      </c>
      <c r="T10" s="10" t="n">
        <v>1340</v>
      </c>
      <c r="U10" s="10">
        <f>SUM(I10:T10)</f>
        <v/>
      </c>
    </row>
    <row r="11">
      <c r="C11" s="7" t="inlineStr">
        <is>
          <t>Total Vol</t>
        </is>
      </c>
      <c r="I11" s="12">
        <f>SUM(I6:I10)</f>
        <v/>
      </c>
      <c r="J11" s="12">
        <f>SUM(J6:J10)</f>
        <v/>
      </c>
      <c r="K11" s="12">
        <f>SUM(K6:K10)</f>
        <v/>
      </c>
      <c r="L11" s="12">
        <f>SUM(L6:L10)</f>
        <v/>
      </c>
      <c r="M11" s="12">
        <f>SUM(M6:M10)</f>
        <v/>
      </c>
      <c r="N11" s="12">
        <f>SUM(N6:N10)</f>
        <v/>
      </c>
      <c r="O11" s="12">
        <f>SUM(O6:O10)</f>
        <v/>
      </c>
      <c r="P11" s="12">
        <f>SUM(P6:P10)</f>
        <v/>
      </c>
      <c r="Q11" s="12">
        <f>SUM(Q6:Q10)</f>
        <v/>
      </c>
      <c r="R11" s="12">
        <f>SUM(R6:R10)</f>
        <v/>
      </c>
      <c r="S11" s="12">
        <f>SUM(S6:S10)</f>
        <v/>
      </c>
      <c r="T11" s="12">
        <f>SUM(T6:T10)</f>
        <v/>
      </c>
      <c r="U11" s="12">
        <f>SUM(U6:U10)</f>
        <v/>
      </c>
    </row>
    <row r="13">
      <c r="B13" s="7" t="inlineStr">
        <is>
          <t>(2) Final Forecast by IRC (in Gross Sales Value, local currency)</t>
        </is>
      </c>
    </row>
    <row r="14">
      <c r="B14" s="1" t="inlineStr">
        <is>
          <t>IRC</t>
        </is>
      </c>
      <c r="C14" s="1" t="inlineStr">
        <is>
          <t>Description</t>
        </is>
      </c>
      <c r="I14" s="8" t="n">
        <v>46388</v>
      </c>
      <c r="J14" s="8" t="n">
        <v>46419</v>
      </c>
      <c r="K14" s="8" t="n">
        <v>46447</v>
      </c>
      <c r="L14" s="8" t="n">
        <v>46478</v>
      </c>
      <c r="M14" s="8" t="n">
        <v>46508</v>
      </c>
      <c r="N14" s="8" t="n">
        <v>46539</v>
      </c>
      <c r="O14" s="8" t="n">
        <v>46569</v>
      </c>
      <c r="P14" s="8" t="n">
        <v>46600</v>
      </c>
      <c r="Q14" s="8" t="n">
        <v>46631</v>
      </c>
      <c r="R14" s="8" t="n">
        <v>46661</v>
      </c>
      <c r="S14" s="8" t="n">
        <v>46692</v>
      </c>
      <c r="T14" s="8" t="n">
        <v>46722</v>
      </c>
      <c r="U14" s="1" t="inlineStr">
        <is>
          <t>Total Val 12M</t>
        </is>
      </c>
    </row>
    <row r="15">
      <c r="B15" s="9" t="inlineStr">
        <is>
          <t>LUM-HG-050</t>
        </is>
      </c>
      <c r="C15" s="9" t="inlineStr">
        <is>
          <t>Hydra Glow Serum 50ml</t>
        </is>
      </c>
      <c r="D15" s="9" t="n"/>
      <c r="E15" s="9" t="n"/>
      <c r="F15" s="9" t="n"/>
      <c r="G15" s="9" t="n"/>
      <c r="H15" s="9" t="n"/>
      <c r="I15" s="10" t="n">
        <v>56277.48</v>
      </c>
      <c r="J15" s="10" t="n">
        <v>67273.08</v>
      </c>
      <c r="K15" s="10" t="n">
        <v>57651.93</v>
      </c>
      <c r="L15" s="10" t="n">
        <v>56227.5</v>
      </c>
      <c r="M15" s="10" t="n">
        <v>61975.2</v>
      </c>
      <c r="N15" s="10" t="n">
        <v>70096.95</v>
      </c>
      <c r="O15" s="10" t="n">
        <v>29413.23</v>
      </c>
      <c r="P15" s="10" t="n">
        <v>28888.44</v>
      </c>
      <c r="Q15" s="10" t="n">
        <v>62375.04</v>
      </c>
      <c r="R15" s="10" t="n">
        <v>58676.52</v>
      </c>
      <c r="S15" s="10" t="n">
        <v>74445.21000000001</v>
      </c>
      <c r="T15" s="10" t="n">
        <v>72820.86</v>
      </c>
      <c r="U15" s="10">
        <f>SUM(I15:T15)</f>
        <v/>
      </c>
    </row>
    <row r="16">
      <c r="B16" t="inlineStr">
        <is>
          <t>LUM-HG-030</t>
        </is>
      </c>
      <c r="C16" t="inlineStr">
        <is>
          <t>Hydra Glow Serum 30ml</t>
        </is>
      </c>
      <c r="I16" s="11" t="n">
        <v>19742.38</v>
      </c>
      <c r="J16" s="11" t="n">
        <v>13337.15</v>
      </c>
      <c r="K16" s="11" t="n">
        <v>37870.71</v>
      </c>
      <c r="L16" s="11" t="n">
        <v>27897.58</v>
      </c>
      <c r="M16" s="11" t="n">
        <v>16650.2</v>
      </c>
      <c r="N16" s="11" t="n">
        <v>13099.29</v>
      </c>
      <c r="O16" s="11" t="n">
        <v>44275.94</v>
      </c>
      <c r="P16" s="11" t="n">
        <v>50936.02</v>
      </c>
      <c r="Q16" s="11" t="n">
        <v>9701.290000000001</v>
      </c>
      <c r="R16" s="11" t="n">
        <v>48217.62</v>
      </c>
      <c r="S16" s="11" t="n">
        <v>34353.78</v>
      </c>
      <c r="T16" s="11" t="n">
        <v>38312.45</v>
      </c>
      <c r="U16" s="11">
        <f>SUM(I16:T16)</f>
        <v/>
      </c>
    </row>
    <row r="17">
      <c r="B17" s="9" t="inlineStr">
        <is>
          <t>LUM-VM-201</t>
        </is>
      </c>
      <c r="C17" s="9" t="inlineStr">
        <is>
          <t>Velvet Matte Lipstick - Rosewood</t>
        </is>
      </c>
      <c r="D17" s="9" t="n"/>
      <c r="E17" s="9" t="n"/>
      <c r="F17" s="9" t="n"/>
      <c r="G17" s="9" t="n"/>
      <c r="H17" s="9" t="n"/>
      <c r="I17" s="10" t="n">
        <v>61529.22</v>
      </c>
      <c r="J17" s="10" t="n">
        <v>58390.79</v>
      </c>
      <c r="K17" s="10" t="n">
        <v>61209.38</v>
      </c>
      <c r="L17" s="10" t="n">
        <v>20889.55</v>
      </c>
      <c r="M17" s="10" t="n">
        <v>59010.48</v>
      </c>
      <c r="N17" s="10" t="n">
        <v>9215.389999999999</v>
      </c>
      <c r="O17" s="10" t="n">
        <v>51254.36</v>
      </c>
      <c r="P17" s="10" t="n">
        <v>13153.42</v>
      </c>
      <c r="Q17" s="10" t="n">
        <v>12853.57</v>
      </c>
      <c r="R17" s="10" t="n">
        <v>10914.54</v>
      </c>
      <c r="S17" s="10" t="n">
        <v>23568.21</v>
      </c>
      <c r="T17" s="10" t="n">
        <v>27786.1</v>
      </c>
      <c r="U17" s="10">
        <f>SUM(I17:T17)</f>
        <v/>
      </c>
    </row>
    <row r="18">
      <c r="B18" t="inlineStr">
        <is>
          <t>LUM-VM-202</t>
        </is>
      </c>
      <c r="C18" t="inlineStr">
        <is>
          <t>Velvet Matte Lipstick - Terracotta</t>
        </is>
      </c>
      <c r="I18" s="11" t="n">
        <v>57091.44</v>
      </c>
      <c r="J18" s="11" t="n">
        <v>10454.77</v>
      </c>
      <c r="K18" s="11" t="n">
        <v>45977</v>
      </c>
      <c r="L18" s="11" t="n">
        <v>34702.64</v>
      </c>
      <c r="M18" s="11" t="n">
        <v>44057.96</v>
      </c>
      <c r="N18" s="11" t="n">
        <v>56371.8</v>
      </c>
      <c r="O18" s="11" t="n">
        <v>23988</v>
      </c>
      <c r="P18" s="11" t="n">
        <v>50494.74</v>
      </c>
      <c r="Q18" s="11" t="n">
        <v>27126.43</v>
      </c>
      <c r="R18" s="11" t="n">
        <v>60409.78</v>
      </c>
      <c r="S18" s="11" t="n">
        <v>32063.96</v>
      </c>
      <c r="T18" s="11" t="n">
        <v>48915.53</v>
      </c>
      <c r="U18" s="11">
        <f>SUM(I18:T18)</f>
        <v/>
      </c>
    </row>
    <row r="19">
      <c r="B19" s="9" t="inlineStr">
        <is>
          <t>LUM-BR-100</t>
        </is>
      </c>
      <c r="C19" s="9" t="inlineStr">
        <is>
          <t>Bloom Radiance Highlighter</t>
        </is>
      </c>
      <c r="D19" s="9" t="n"/>
      <c r="E19" s="9" t="n"/>
      <c r="F19" s="9" t="n"/>
      <c r="G19" s="9" t="n"/>
      <c r="H19" s="9" t="n"/>
      <c r="I19" s="10" t="n">
        <v>9405</v>
      </c>
      <c r="J19" s="10" t="n">
        <v>70042.5</v>
      </c>
      <c r="K19" s="10" t="n">
        <v>16830</v>
      </c>
      <c r="L19" s="10" t="n">
        <v>51142.5</v>
      </c>
      <c r="M19" s="10" t="n">
        <v>69345</v>
      </c>
      <c r="N19" s="10" t="n">
        <v>34627.5</v>
      </c>
      <c r="O19" s="10" t="n">
        <v>46485</v>
      </c>
      <c r="P19" s="10" t="n">
        <v>59782.5</v>
      </c>
      <c r="Q19" s="10" t="n">
        <v>16650</v>
      </c>
      <c r="R19" s="10" t="n">
        <v>32400</v>
      </c>
      <c r="S19" s="10" t="n">
        <v>38047.5</v>
      </c>
      <c r="T19" s="10" t="n">
        <v>30150</v>
      </c>
      <c r="U19" s="10">
        <f>SUM(I19:T19)</f>
        <v/>
      </c>
    </row>
    <row r="20">
      <c r="C20" s="7" t="inlineStr">
        <is>
          <t>Total Val</t>
        </is>
      </c>
      <c r="I20" s="12">
        <f>SUM(I15:I19)</f>
        <v/>
      </c>
      <c r="J20" s="12">
        <f>SUM(J15:J19)</f>
        <v/>
      </c>
      <c r="K20" s="12">
        <f>SUM(K15:K19)</f>
        <v/>
      </c>
      <c r="L20" s="12">
        <f>SUM(L15:L19)</f>
        <v/>
      </c>
      <c r="M20" s="12">
        <f>SUM(M15:M19)</f>
        <v/>
      </c>
      <c r="N20" s="12">
        <f>SUM(N15:N19)</f>
        <v/>
      </c>
      <c r="O20" s="12">
        <f>SUM(O15:O19)</f>
        <v/>
      </c>
      <c r="P20" s="12">
        <f>SUM(P15:P19)</f>
        <v/>
      </c>
      <c r="Q20" s="12">
        <f>SUM(Q15:Q19)</f>
        <v/>
      </c>
      <c r="R20" s="12">
        <f>SUM(R15:R19)</f>
        <v/>
      </c>
      <c r="S20" s="12">
        <f>SUM(S15:S19)</f>
        <v/>
      </c>
      <c r="T20" s="12">
        <f>SUM(T15:T19)</f>
        <v/>
      </c>
      <c r="U20" s="12">
        <f>SUM(U15:U19)</f>
        <v/>
      </c>
    </row>
    <row r="22">
      <c r="B22" s="7" t="inlineStr">
        <is>
          <t>Customer Info</t>
        </is>
      </c>
    </row>
    <row r="23">
      <c r="B23" s="13" t="inlineStr">
        <is>
          <t>Customer</t>
        </is>
      </c>
      <c r="C23" s="13" t="inlineStr">
        <is>
          <t>Customer's ICW</t>
        </is>
      </c>
      <c r="D23" s="13" t="inlineStr">
        <is>
          <t>Weight (%)</t>
        </is>
      </c>
    </row>
    <row r="24">
      <c r="B24" t="inlineStr">
        <is>
          <t>Retailer Alpha</t>
        </is>
      </c>
      <c r="C24" s="14" t="n">
        <v>46388</v>
      </c>
      <c r="D24" s="15" t="n">
        <v>0.4</v>
      </c>
    </row>
    <row r="25">
      <c r="B25" t="inlineStr">
        <is>
          <t>Retailer Beta</t>
        </is>
      </c>
      <c r="C25" s="14" t="n">
        <v>46419</v>
      </c>
      <c r="D25" s="15" t="n">
        <v>0.35</v>
      </c>
    </row>
    <row r="26">
      <c r="B26" t="inlineStr">
        <is>
          <t>Retailer Gamma</t>
        </is>
      </c>
      <c r="C26" s="14" t="n">
        <v>46388</v>
      </c>
      <c r="D26" s="15" t="n">
        <v>0.25</v>
      </c>
    </row>
  </sheetData>
  <mergeCells count="1">
    <mergeCell ref="B4:U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</cols>
  <sheetData>
    <row r="2">
      <c r="B2" s="1" t="inlineStr">
        <is>
          <t>Pick Forecast Table to be uploaded to the Demand Planning System</t>
        </is>
      </c>
    </row>
    <row r="4">
      <c r="B4" s="13" t="inlineStr">
        <is>
          <t>Forecast ID</t>
        </is>
      </c>
      <c r="C4" t="inlineStr">
        <is>
          <t>FCST-2027-001</t>
        </is>
      </c>
    </row>
    <row r="6">
      <c r="B6" s="1" t="inlineStr">
        <is>
          <t>Location</t>
        </is>
      </c>
      <c r="C6" s="1" t="inlineStr">
        <is>
          <t>Dmd Group</t>
        </is>
      </c>
      <c r="D6" s="1" t="inlineStr">
        <is>
          <t>IRC Code</t>
        </is>
      </c>
    </row>
    <row r="7">
      <c r="B7" t="inlineStr">
        <is>
          <t>FR01</t>
        </is>
      </c>
      <c r="C7" t="inlineStr">
        <is>
          <t>Skincare</t>
        </is>
      </c>
      <c r="D7" t="inlineStr">
        <is>
          <t>LUM-HG-050</t>
        </is>
      </c>
    </row>
    <row r="8">
      <c r="B8" t="inlineStr">
        <is>
          <t>DE01</t>
        </is>
      </c>
      <c r="C8" t="inlineStr">
        <is>
          <t>Skincare</t>
        </is>
      </c>
      <c r="D8" t="inlineStr">
        <is>
          <t>LUM-HG-050</t>
        </is>
      </c>
    </row>
    <row r="9">
      <c r="B9" t="inlineStr">
        <is>
          <t>UK01</t>
        </is>
      </c>
      <c r="C9" t="inlineStr">
        <is>
          <t>Skincare</t>
        </is>
      </c>
      <c r="D9" t="inlineStr">
        <is>
          <t>LUM-HG-030</t>
        </is>
      </c>
    </row>
    <row r="10">
      <c r="B10" t="inlineStr">
        <is>
          <t>ES01</t>
        </is>
      </c>
      <c r="C10" t="inlineStr">
        <is>
          <t>Color Cosmetics</t>
        </is>
      </c>
      <c r="D10" t="inlineStr">
        <is>
          <t>LUM-VM-201</t>
        </is>
      </c>
    </row>
    <row r="11">
      <c r="B11" t="inlineStr">
        <is>
          <t>IT01</t>
        </is>
      </c>
      <c r="C11" t="inlineStr">
        <is>
          <t>Color Cosmetics</t>
        </is>
      </c>
      <c r="D11" t="inlineStr">
        <is>
          <t>LUM-VM-202</t>
        </is>
      </c>
    </row>
    <row r="12">
      <c r="B12" t="inlineStr">
        <is>
          <t>JP01</t>
        </is>
      </c>
      <c r="C12" t="inlineStr">
        <is>
          <t>Color Cosmetics</t>
        </is>
      </c>
      <c r="D12" t="inlineStr">
        <is>
          <t>LUM-BR-100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2026-07-08T15:17:28Z</dcterms:created>
  <dcterms:modified xsi:type="dcterms:W3CDTF">2026-07-08T15:18:06Z</dcterms:modified>
</cp:coreProperties>
</file>